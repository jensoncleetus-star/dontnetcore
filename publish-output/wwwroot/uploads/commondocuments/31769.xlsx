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E775910-CBB1-4103-9B13-74A512F5EB09}" xr6:coauthVersionLast="47" xr6:coauthVersionMax="47" xr10:uidLastSave="{00000000-0000-0000-0000-000000000000}"/>
  <bookViews>
    <workbookView xWindow="1560" yWindow="720" windowWidth="18855" windowHeight="15480" xr2:uid="{F4D7B637-DA44-433B-BF1A-AA1A79A9A1D7}"/>
  </bookViews>
  <sheets>
    <sheet name="EMER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1" l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13" i="1"/>
  <c r="O12" i="1"/>
  <c r="O11" i="1"/>
  <c r="O7" i="1"/>
  <c r="O6" i="1"/>
  <c r="O5" i="1"/>
  <c r="O4" i="1"/>
</calcChain>
</file>

<file path=xl/sharedStrings.xml><?xml version="1.0" encoding="utf-8"?>
<sst xmlns="http://schemas.openxmlformats.org/spreadsheetml/2006/main" count="180" uniqueCount="80">
  <si>
    <t>Sl. No</t>
  </si>
  <si>
    <t>Item Code</t>
  </si>
  <si>
    <t>Item Name</t>
  </si>
  <si>
    <t>Arabic Name</t>
  </si>
  <si>
    <t>Barcode</t>
  </si>
  <si>
    <t>Category</t>
  </si>
  <si>
    <t>Selling Price</t>
  </si>
  <si>
    <t>Size</t>
  </si>
  <si>
    <t>Color</t>
  </si>
  <si>
    <t>Primary Unit</t>
  </si>
  <si>
    <t>Secondary Unit</t>
  </si>
  <si>
    <t>Convertion Factor</t>
  </si>
  <si>
    <t>item Description</t>
  </si>
  <si>
    <t>Opening Stock</t>
  </si>
  <si>
    <t>Minimum Stock</t>
  </si>
  <si>
    <t>Ajrak Modal Silk Printed</t>
  </si>
  <si>
    <t>Fabrics</t>
  </si>
  <si>
    <t>Multi</t>
  </si>
  <si>
    <t>Mtrs</t>
  </si>
  <si>
    <t xml:space="preserve">Squared flower </t>
  </si>
  <si>
    <t>Round Flowers</t>
  </si>
  <si>
    <t>Zig Zag Print</t>
  </si>
  <si>
    <t>Round and Square Flowers</t>
  </si>
  <si>
    <t>Small Butti Flower</t>
  </si>
  <si>
    <t xml:space="preserve">Sarees Modal Silk Ajrak Print </t>
  </si>
  <si>
    <t>Saree</t>
  </si>
  <si>
    <t>PCS</t>
  </si>
  <si>
    <t xml:space="preserve">Stall Modal Silk Ajrak Print </t>
  </si>
  <si>
    <t>Stalls</t>
  </si>
  <si>
    <t>Dupatta Modal Silk Ajrak</t>
  </si>
  <si>
    <t>Dupatta</t>
  </si>
  <si>
    <t>Cotton Ajrak Printed</t>
  </si>
  <si>
    <t>Hand Block Multi</t>
  </si>
  <si>
    <t>Cotton Indigo Printed</t>
  </si>
  <si>
    <t xml:space="preserve">Indigo </t>
  </si>
  <si>
    <t xml:space="preserve">Ajrak Rayyon </t>
  </si>
  <si>
    <t>Tussar Silk Unstched Salwar</t>
  </si>
  <si>
    <t>Unstiched Salwar</t>
  </si>
  <si>
    <t>Multi Floral Design</t>
  </si>
  <si>
    <t>Check Zari Print Design</t>
  </si>
  <si>
    <t>Plain Border Zari</t>
  </si>
  <si>
    <t>Kantha Design</t>
  </si>
  <si>
    <t>Tussar Silk Border</t>
  </si>
  <si>
    <t>Cotton Saree</t>
  </si>
  <si>
    <t>Chanderi Cotton Golden Border Saree</t>
  </si>
  <si>
    <t>Semi Silk Saree</t>
  </si>
  <si>
    <t>Semi Silk Printed Saree</t>
  </si>
  <si>
    <t>Linen Tissue Saree</t>
  </si>
  <si>
    <t xml:space="preserve">Hand Worked Linen Tissue </t>
  </si>
  <si>
    <t>Floral</t>
  </si>
  <si>
    <t>Dola Silk</t>
  </si>
  <si>
    <t>Zari Woween Sare</t>
  </si>
  <si>
    <t>Chanderi Saree</t>
  </si>
  <si>
    <t>Silk with Banarasi Border</t>
  </si>
  <si>
    <t>Banarasi Saree</t>
  </si>
  <si>
    <t>Semi Banarasi Saree</t>
  </si>
  <si>
    <t>Art Silk Banarasi Wowwen</t>
  </si>
  <si>
    <t>Plain With Banarasi Border</t>
  </si>
  <si>
    <t>Organza Saree</t>
  </si>
  <si>
    <t>With Hand Work</t>
  </si>
  <si>
    <t>Ajrak Cotton 1025</t>
  </si>
  <si>
    <t>Ajrak Cotton Block Printed</t>
  </si>
  <si>
    <t>Fancy Fabrics Handwork</t>
  </si>
  <si>
    <t>Handwork Fancy Fabrics</t>
  </si>
  <si>
    <t>Net Kota Fabrics</t>
  </si>
  <si>
    <t>Multi Print Net Kota Fabrics</t>
  </si>
  <si>
    <t>Fancy Fabrics Organza</t>
  </si>
  <si>
    <t>Banarasi Brocade</t>
  </si>
  <si>
    <t>Pure Banarasi Brocade</t>
  </si>
  <si>
    <t>Semi Banarasi Brocade</t>
  </si>
  <si>
    <t>Silk Banarasi Brocade</t>
  </si>
  <si>
    <t>Chikkenkari Fabrics</t>
  </si>
  <si>
    <t xml:space="preserve">White Chikkenkari Shiffon Pure </t>
  </si>
  <si>
    <t>White Chikkenkari Shiffon Heavy</t>
  </si>
  <si>
    <t>White Chikkenkari Normal</t>
  </si>
  <si>
    <t>White Fabrics</t>
  </si>
  <si>
    <t>Cotton Fabrics Printed</t>
  </si>
  <si>
    <t>Multi Coloured Printed Cotton Fabrics</t>
  </si>
  <si>
    <t>Raw Silk Fabrics Plain</t>
  </si>
  <si>
    <t>Plain Multi Coloured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</si>
</sst>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23819-44BB-4B0D-BCEF-A5683BCF44A9}" name="Table15" displayName="Table15" ref="B2:P44" totalsRowShown="0">
  <autoFilter ref="B2:P4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7684F45-F81B-49EC-B3BB-B699E3D0A092}" name="Sl. No" dataDxfId="4"/>
    <tableColumn id="2" xr3:uid="{57AA74DD-1D56-422E-A8F6-C95986322165}" name="Item Code"/>
    <tableColumn id="3" xr3:uid="{2F1721AB-A9D4-45BC-8339-81832A47055C}" name="Item Name"/>
    <tableColumn id="4" xr3:uid="{56E39DBC-0219-485C-AE4E-D4742E06024D}" name="Arabic Name"/>
    <tableColumn id="5" xr3:uid="{4A2396D1-EE4A-47CC-8DE9-D71A851822A9}" name="Barcode"/>
    <tableColumn id="6" xr3:uid="{FEE8DFA8-DD2F-45A5-B1DF-AF64AAF83C54}" name="Category"/>
    <tableColumn id="7" xr3:uid="{4E828CDB-F289-4263-B552-7E124693EB68}" name="Selling Price" dataDxfId="3"/>
    <tableColumn id="8" xr3:uid="{21EE4CBE-4400-48E2-AE53-8BB529A04C90}" name="Size"/>
    <tableColumn id="9" xr3:uid="{92AFAE15-9D10-46A8-8259-E4FF41497883}" name="Color"/>
    <tableColumn id="10" xr3:uid="{89C36A41-770F-490B-AB16-41474CF7966D}" name="Primary Unit" dataDxfId="2"/>
    <tableColumn id="11" xr3:uid="{358B7FAD-2ECE-4C09-9A46-3EDCB8F492DA}" name="Secondary Unit"/>
    <tableColumn id="12" xr3:uid="{333D7E5D-6FA6-42DB-AA0F-71080192924B}" name="Convertion Factor"/>
    <tableColumn id="13" xr3:uid="{9F21666F-9E89-4007-AB4F-A74455E6D05C}" name="item Description" dataDxfId="1"/>
    <tableColumn id="14" xr3:uid="{054B6250-8BF7-4E6D-BC44-1B7FB00B1CD9}" name="Opening Stock" dataDxfId="0"/>
    <tableColumn id="15" xr3:uid="{D3480281-57FA-4318-B030-B57DC7E3F3E2}" name="Minimum Stock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8535-5F86-4A76-8A08-4C9DA5B59492}">
  <dimension ref="B2:P44"/>
  <sheetViews>
    <sheetView tabSelected="1" workbookViewId="0">
      <selection activeCell="N17" sqref="N17"/>
    </sheetView>
  </sheetViews>
  <sheetFormatPr defaultRowHeight="15" x14ac:dyDescent="0.25"/>
  <cols>
    <col min="2" max="2" width="11" bestFit="1" customWidth="1"/>
    <col min="3" max="3" width="14.140625" bestFit="1" customWidth="1"/>
    <col min="4" max="4" width="27.7109375" bestFit="1" customWidth="1"/>
    <col min="5" max="5" width="12.28515625" hidden="1" customWidth="1"/>
    <col min="6" max="6" width="10.28515625" customWidth="1"/>
    <col min="7" max="7" width="30.7109375" customWidth="1"/>
    <col min="8" max="8" width="14" customWidth="1"/>
    <col min="9" max="9" width="6.7109375" customWidth="1"/>
    <col min="10" max="10" width="26.5703125" customWidth="1"/>
    <col min="11" max="11" width="14.28515625" customWidth="1"/>
    <col min="12" max="12" width="16.5703125" customWidth="1"/>
    <col min="13" max="13" width="18.85546875" customWidth="1"/>
    <col min="14" max="14" width="26.42578125" bestFit="1" customWidth="1"/>
    <col min="15" max="15" width="15.85546875" customWidth="1"/>
    <col min="16" max="16" width="17" customWidth="1"/>
  </cols>
  <sheetData>
    <row r="2" spans="2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2:16" x14ac:dyDescent="0.25">
      <c r="B3">
        <v>1</v>
      </c>
      <c r="D3" t="s">
        <v>15</v>
      </c>
      <c r="G3" t="s">
        <v>16</v>
      </c>
      <c r="H3">
        <v>68</v>
      </c>
      <c r="J3" t="s">
        <v>17</v>
      </c>
      <c r="K3" t="s">
        <v>18</v>
      </c>
      <c r="N3" t="s">
        <v>19</v>
      </c>
      <c r="O3">
        <v>23</v>
      </c>
    </row>
    <row r="4" spans="2:16" x14ac:dyDescent="0.25">
      <c r="B4">
        <v>2</v>
      </c>
      <c r="D4" t="s">
        <v>15</v>
      </c>
      <c r="G4" t="s">
        <v>16</v>
      </c>
      <c r="H4">
        <v>68</v>
      </c>
      <c r="K4" t="s">
        <v>18</v>
      </c>
      <c r="N4" t="s">
        <v>20</v>
      </c>
      <c r="O4">
        <f>5+6+5+6+2.75+6</f>
        <v>30.75</v>
      </c>
    </row>
    <row r="5" spans="2:16" x14ac:dyDescent="0.25">
      <c r="B5">
        <v>3</v>
      </c>
      <c r="D5" t="s">
        <v>15</v>
      </c>
      <c r="G5" t="s">
        <v>16</v>
      </c>
      <c r="H5">
        <v>68</v>
      </c>
      <c r="K5" t="s">
        <v>18</v>
      </c>
      <c r="N5" t="s">
        <v>21</v>
      </c>
      <c r="O5">
        <f>6+6+5</f>
        <v>17</v>
      </c>
    </row>
    <row r="6" spans="2:16" x14ac:dyDescent="0.25">
      <c r="B6">
        <v>4</v>
      </c>
      <c r="D6" t="s">
        <v>15</v>
      </c>
      <c r="G6" t="s">
        <v>16</v>
      </c>
      <c r="H6">
        <v>68</v>
      </c>
      <c r="K6" t="s">
        <v>18</v>
      </c>
      <c r="N6" t="s">
        <v>22</v>
      </c>
      <c r="O6">
        <f>20</f>
        <v>20</v>
      </c>
    </row>
    <row r="7" spans="2:16" x14ac:dyDescent="0.25">
      <c r="B7">
        <v>5</v>
      </c>
      <c r="D7" t="s">
        <v>15</v>
      </c>
      <c r="G7" t="s">
        <v>16</v>
      </c>
      <c r="H7">
        <v>68</v>
      </c>
      <c r="K7" t="s">
        <v>18</v>
      </c>
      <c r="N7" t="s">
        <v>23</v>
      </c>
      <c r="O7">
        <f>6*4</f>
        <v>24</v>
      </c>
    </row>
    <row r="8" spans="2:16" x14ac:dyDescent="0.25">
      <c r="B8">
        <v>6</v>
      </c>
      <c r="D8" t="s">
        <v>24</v>
      </c>
      <c r="G8" t="s">
        <v>25</v>
      </c>
      <c r="H8">
        <v>320</v>
      </c>
      <c r="K8" t="s">
        <v>26</v>
      </c>
      <c r="O8">
        <v>8</v>
      </c>
    </row>
    <row r="9" spans="2:16" x14ac:dyDescent="0.25">
      <c r="B9">
        <v>7</v>
      </c>
      <c r="D9" t="s">
        <v>27</v>
      </c>
      <c r="G9" t="s">
        <v>28</v>
      </c>
      <c r="H9">
        <v>70</v>
      </c>
      <c r="K9" t="s">
        <v>26</v>
      </c>
      <c r="O9">
        <v>7</v>
      </c>
    </row>
    <row r="10" spans="2:16" x14ac:dyDescent="0.25">
      <c r="B10">
        <v>8</v>
      </c>
      <c r="D10" t="s">
        <v>29</v>
      </c>
      <c r="G10" t="s">
        <v>30</v>
      </c>
      <c r="H10">
        <v>150</v>
      </c>
      <c r="K10" t="s">
        <v>26</v>
      </c>
      <c r="O10">
        <v>5</v>
      </c>
    </row>
    <row r="11" spans="2:16" x14ac:dyDescent="0.25">
      <c r="B11">
        <v>9</v>
      </c>
      <c r="D11" t="s">
        <v>15</v>
      </c>
      <c r="G11" t="s">
        <v>16</v>
      </c>
      <c r="H11">
        <v>68</v>
      </c>
      <c r="K11" t="s">
        <v>18</v>
      </c>
      <c r="N11" t="s">
        <v>17</v>
      </c>
      <c r="O11">
        <f>6+2.5+6+6+5.5+2+2.5+5.5+2.5+6+1.5+1+3.5+6</f>
        <v>56.5</v>
      </c>
    </row>
    <row r="12" spans="2:16" x14ac:dyDescent="0.25">
      <c r="B12">
        <v>10</v>
      </c>
      <c r="D12" t="s">
        <v>31</v>
      </c>
      <c r="G12" t="s">
        <v>16</v>
      </c>
      <c r="H12">
        <v>37</v>
      </c>
      <c r="K12" t="s">
        <v>18</v>
      </c>
      <c r="N12" t="s">
        <v>32</v>
      </c>
      <c r="O12">
        <f>3.45+1.5+2.5+4+5.5+9.5+8.5+6.5+3+2+4.5+4</f>
        <v>54.95</v>
      </c>
    </row>
    <row r="13" spans="2:16" x14ac:dyDescent="0.25">
      <c r="B13">
        <v>11</v>
      </c>
      <c r="D13" t="s">
        <v>33</v>
      </c>
      <c r="G13" t="s">
        <v>16</v>
      </c>
      <c r="H13">
        <v>30</v>
      </c>
      <c r="K13" t="s">
        <v>18</v>
      </c>
      <c r="N13" t="s">
        <v>34</v>
      </c>
      <c r="O13">
        <f>2.75+3.5+3.5+2.5</f>
        <v>12.25</v>
      </c>
    </row>
    <row r="14" spans="2:16" x14ac:dyDescent="0.25">
      <c r="B14">
        <v>12</v>
      </c>
      <c r="D14" t="s">
        <v>35</v>
      </c>
      <c r="G14" t="s">
        <v>16</v>
      </c>
      <c r="H14">
        <v>42</v>
      </c>
      <c r="K14" t="s">
        <v>18</v>
      </c>
      <c r="N14" t="s">
        <v>17</v>
      </c>
      <c r="O14">
        <v>3</v>
      </c>
    </row>
    <row r="15" spans="2:16" x14ac:dyDescent="0.25">
      <c r="B15">
        <v>13</v>
      </c>
      <c r="D15" t="s">
        <v>36</v>
      </c>
      <c r="G15" t="s">
        <v>37</v>
      </c>
      <c r="H15">
        <v>310</v>
      </c>
      <c r="K15" t="s">
        <v>26</v>
      </c>
      <c r="N15" t="s">
        <v>38</v>
      </c>
      <c r="O15">
        <v>4</v>
      </c>
    </row>
    <row r="16" spans="2:16" x14ac:dyDescent="0.25">
      <c r="B16">
        <v>14</v>
      </c>
      <c r="D16" t="s">
        <v>36</v>
      </c>
      <c r="G16" t="s">
        <v>37</v>
      </c>
      <c r="H16">
        <v>325</v>
      </c>
      <c r="K16" t="s">
        <v>26</v>
      </c>
      <c r="N16" t="s">
        <v>39</v>
      </c>
      <c r="O16">
        <v>6</v>
      </c>
    </row>
    <row r="17" spans="2:15" x14ac:dyDescent="0.25">
      <c r="B17">
        <v>15</v>
      </c>
      <c r="D17" t="s">
        <v>36</v>
      </c>
      <c r="G17" t="s">
        <v>37</v>
      </c>
      <c r="H17">
        <v>350</v>
      </c>
      <c r="K17" t="s">
        <v>26</v>
      </c>
      <c r="N17" t="s">
        <v>40</v>
      </c>
      <c r="O17">
        <v>2</v>
      </c>
    </row>
    <row r="18" spans="2:15" x14ac:dyDescent="0.25">
      <c r="B18">
        <v>16</v>
      </c>
      <c r="D18" t="s">
        <v>36</v>
      </c>
      <c r="G18" t="s">
        <v>37</v>
      </c>
      <c r="H18">
        <v>315</v>
      </c>
      <c r="K18" t="s">
        <v>26</v>
      </c>
      <c r="N18" t="s">
        <v>41</v>
      </c>
      <c r="O18">
        <v>1</v>
      </c>
    </row>
    <row r="19" spans="2:15" x14ac:dyDescent="0.25">
      <c r="B19">
        <v>17</v>
      </c>
      <c r="D19" t="s">
        <v>36</v>
      </c>
      <c r="G19" t="s">
        <v>37</v>
      </c>
      <c r="H19">
        <v>290</v>
      </c>
      <c r="K19" t="s">
        <v>26</v>
      </c>
      <c r="N19" t="s">
        <v>42</v>
      </c>
      <c r="O19">
        <v>3</v>
      </c>
    </row>
    <row r="20" spans="2:15" x14ac:dyDescent="0.25">
      <c r="B20">
        <v>18</v>
      </c>
      <c r="D20" t="s">
        <v>43</v>
      </c>
      <c r="G20" t="s">
        <v>25</v>
      </c>
      <c r="H20">
        <v>240</v>
      </c>
      <c r="K20" t="s">
        <v>26</v>
      </c>
      <c r="N20" t="s">
        <v>44</v>
      </c>
      <c r="O20">
        <v>4</v>
      </c>
    </row>
    <row r="21" spans="2:15" x14ac:dyDescent="0.25">
      <c r="B21">
        <v>19</v>
      </c>
      <c r="D21" t="s">
        <v>45</v>
      </c>
      <c r="G21" t="s">
        <v>25</v>
      </c>
      <c r="H21">
        <v>210</v>
      </c>
      <c r="K21" t="s">
        <v>26</v>
      </c>
      <c r="N21" t="s">
        <v>46</v>
      </c>
      <c r="O21">
        <v>3</v>
      </c>
    </row>
    <row r="22" spans="2:15" x14ac:dyDescent="0.25">
      <c r="B22">
        <v>20</v>
      </c>
      <c r="D22" t="s">
        <v>47</v>
      </c>
      <c r="G22" t="s">
        <v>25</v>
      </c>
      <c r="H22">
        <v>280</v>
      </c>
      <c r="K22" t="s">
        <v>26</v>
      </c>
      <c r="N22" t="s">
        <v>48</v>
      </c>
      <c r="O22">
        <v>2</v>
      </c>
    </row>
    <row r="23" spans="2:15" x14ac:dyDescent="0.25">
      <c r="B23">
        <v>21</v>
      </c>
      <c r="D23" t="s">
        <v>47</v>
      </c>
      <c r="G23" t="s">
        <v>25</v>
      </c>
      <c r="H23">
        <v>310</v>
      </c>
      <c r="K23" t="s">
        <v>26</v>
      </c>
      <c r="N23" t="s">
        <v>49</v>
      </c>
      <c r="O23">
        <v>1</v>
      </c>
    </row>
    <row r="24" spans="2:15" x14ac:dyDescent="0.25">
      <c r="B24">
        <v>22</v>
      </c>
      <c r="D24" t="s">
        <v>50</v>
      </c>
      <c r="G24" t="s">
        <v>25</v>
      </c>
      <c r="H24">
        <v>330</v>
      </c>
      <c r="K24" t="s">
        <v>26</v>
      </c>
      <c r="N24" t="s">
        <v>51</v>
      </c>
      <c r="O24">
        <v>1</v>
      </c>
    </row>
    <row r="25" spans="2:15" x14ac:dyDescent="0.25">
      <c r="B25">
        <v>23</v>
      </c>
      <c r="D25" t="s">
        <v>52</v>
      </c>
      <c r="G25" t="s">
        <v>25</v>
      </c>
      <c r="H25">
        <v>330</v>
      </c>
      <c r="K25" t="s">
        <v>26</v>
      </c>
      <c r="N25" t="s">
        <v>53</v>
      </c>
      <c r="O25">
        <v>2</v>
      </c>
    </row>
    <row r="26" spans="2:15" x14ac:dyDescent="0.25">
      <c r="B26">
        <v>24</v>
      </c>
      <c r="D26" t="s">
        <v>54</v>
      </c>
      <c r="G26" t="s">
        <v>25</v>
      </c>
      <c r="H26">
        <v>470</v>
      </c>
      <c r="K26" t="s">
        <v>26</v>
      </c>
      <c r="N26" t="s">
        <v>55</v>
      </c>
      <c r="O26">
        <v>2</v>
      </c>
    </row>
    <row r="27" spans="2:15" x14ac:dyDescent="0.25">
      <c r="B27">
        <v>25</v>
      </c>
      <c r="D27" t="s">
        <v>54</v>
      </c>
      <c r="G27" t="s">
        <v>25</v>
      </c>
      <c r="H27">
        <v>510</v>
      </c>
      <c r="K27" t="s">
        <v>26</v>
      </c>
      <c r="N27" t="s">
        <v>56</v>
      </c>
      <c r="O27">
        <v>2</v>
      </c>
    </row>
    <row r="28" spans="2:15" x14ac:dyDescent="0.25">
      <c r="B28">
        <v>26</v>
      </c>
      <c r="D28" t="s">
        <v>54</v>
      </c>
      <c r="G28" t="s">
        <v>25</v>
      </c>
      <c r="H28">
        <v>310</v>
      </c>
      <c r="K28" t="s">
        <v>26</v>
      </c>
      <c r="N28" t="s">
        <v>57</v>
      </c>
      <c r="O28">
        <v>3</v>
      </c>
    </row>
    <row r="29" spans="2:15" x14ac:dyDescent="0.25">
      <c r="B29">
        <v>27</v>
      </c>
      <c r="D29" t="s">
        <v>58</v>
      </c>
      <c r="G29" t="s">
        <v>25</v>
      </c>
      <c r="H29">
        <v>450</v>
      </c>
      <c r="K29" t="s">
        <v>26</v>
      </c>
      <c r="N29" t="s">
        <v>59</v>
      </c>
      <c r="O29">
        <v>2</v>
      </c>
    </row>
    <row r="30" spans="2:15" x14ac:dyDescent="0.25">
      <c r="B30" s="1">
        <v>28</v>
      </c>
      <c r="D30" s="1" t="s">
        <v>60</v>
      </c>
      <c r="G30" t="s">
        <v>16</v>
      </c>
      <c r="H30" s="1">
        <v>42</v>
      </c>
      <c r="K30" s="1" t="s">
        <v>18</v>
      </c>
      <c r="N30" s="1" t="s">
        <v>61</v>
      </c>
      <c r="O30" s="1">
        <f>((20*6)+3.5+9.75)</f>
        <v>133.25</v>
      </c>
    </row>
    <row r="31" spans="2:15" x14ac:dyDescent="0.25">
      <c r="B31" s="1">
        <v>29</v>
      </c>
      <c r="D31" t="s">
        <v>62</v>
      </c>
      <c r="G31" t="s">
        <v>16</v>
      </c>
      <c r="H31" s="1">
        <v>150</v>
      </c>
      <c r="K31" s="1" t="s">
        <v>18</v>
      </c>
      <c r="N31" t="s">
        <v>63</v>
      </c>
      <c r="O31" s="1">
        <f>4.5+3+3+6</f>
        <v>16.5</v>
      </c>
    </row>
    <row r="32" spans="2:15" x14ac:dyDescent="0.25">
      <c r="B32" s="1">
        <v>30</v>
      </c>
      <c r="D32" t="s">
        <v>62</v>
      </c>
      <c r="G32" t="s">
        <v>16</v>
      </c>
      <c r="H32" s="1">
        <v>120</v>
      </c>
      <c r="K32" s="1" t="s">
        <v>18</v>
      </c>
      <c r="N32" t="s">
        <v>63</v>
      </c>
      <c r="O32" s="1">
        <f>2+5.5</f>
        <v>7.5</v>
      </c>
    </row>
    <row r="33" spans="2:15" x14ac:dyDescent="0.25">
      <c r="B33">
        <v>31</v>
      </c>
      <c r="D33" t="s">
        <v>64</v>
      </c>
      <c r="G33" t="s">
        <v>16</v>
      </c>
      <c r="H33">
        <v>48</v>
      </c>
      <c r="K33" t="s">
        <v>18</v>
      </c>
      <c r="N33" t="s">
        <v>65</v>
      </c>
      <c r="O33">
        <f>11+11+3.5+2.5+11+6.5+4+10.5+3.5+11+2.5+5.5</f>
        <v>82.5</v>
      </c>
    </row>
    <row r="34" spans="2:15" x14ac:dyDescent="0.25">
      <c r="B34" s="1">
        <v>32</v>
      </c>
      <c r="D34" s="1" t="s">
        <v>66</v>
      </c>
      <c r="G34" t="s">
        <v>16</v>
      </c>
      <c r="H34" s="1">
        <v>105</v>
      </c>
      <c r="K34" s="1" t="s">
        <v>18</v>
      </c>
      <c r="N34" s="1" t="s">
        <v>66</v>
      </c>
      <c r="O34" s="1">
        <f>3.5+6+6+6+4</f>
        <v>25.5</v>
      </c>
    </row>
    <row r="35" spans="2:15" x14ac:dyDescent="0.25">
      <c r="B35" s="1">
        <v>33</v>
      </c>
      <c r="D35" s="1" t="s">
        <v>66</v>
      </c>
      <c r="G35" t="s">
        <v>16</v>
      </c>
      <c r="H35" s="1">
        <v>80</v>
      </c>
      <c r="K35" s="1" t="s">
        <v>18</v>
      </c>
      <c r="N35" s="1" t="s">
        <v>66</v>
      </c>
      <c r="O35" s="1">
        <f>6+3.25</f>
        <v>9.25</v>
      </c>
    </row>
    <row r="36" spans="2:15" x14ac:dyDescent="0.25">
      <c r="B36" s="1">
        <v>34</v>
      </c>
      <c r="D36" s="1" t="s">
        <v>67</v>
      </c>
      <c r="G36" t="s">
        <v>16</v>
      </c>
      <c r="H36" s="1">
        <v>150</v>
      </c>
      <c r="K36" s="1" t="s">
        <v>18</v>
      </c>
      <c r="N36" s="1" t="s">
        <v>68</v>
      </c>
      <c r="O36" s="1">
        <f>((4*5)+2+4.5+3+3+1)</f>
        <v>33.5</v>
      </c>
    </row>
    <row r="37" spans="2:15" x14ac:dyDescent="0.25">
      <c r="B37" s="1">
        <v>35</v>
      </c>
      <c r="D37" s="1" t="s">
        <v>67</v>
      </c>
      <c r="G37" t="s">
        <v>16</v>
      </c>
      <c r="H37" s="1">
        <v>84</v>
      </c>
      <c r="K37" s="1" t="s">
        <v>18</v>
      </c>
      <c r="N37" s="1" t="s">
        <v>69</v>
      </c>
      <c r="O37" s="1">
        <f>2.5+2+2+3+2.75+1.5+6+2.75+1.75+1.5+3.5+1.5+3+1.75+4.75+2.5</f>
        <v>42.75</v>
      </c>
    </row>
    <row r="38" spans="2:15" x14ac:dyDescent="0.25">
      <c r="B38" s="1">
        <v>36</v>
      </c>
      <c r="D38" s="1" t="s">
        <v>67</v>
      </c>
      <c r="G38" t="s">
        <v>16</v>
      </c>
      <c r="H38" s="1">
        <v>48</v>
      </c>
      <c r="K38" s="1" t="s">
        <v>18</v>
      </c>
      <c r="N38" s="1" t="s">
        <v>70</v>
      </c>
      <c r="O38" s="1">
        <f>(4.5+2.5+(1.75*7)+(0.75*2)+(2*2)+(3.75*2)+(1*2)+3)</f>
        <v>37.25</v>
      </c>
    </row>
    <row r="39" spans="2:15" x14ac:dyDescent="0.25">
      <c r="B39" s="1">
        <v>37</v>
      </c>
      <c r="D39" s="1" t="s">
        <v>71</v>
      </c>
      <c r="G39" t="s">
        <v>16</v>
      </c>
      <c r="H39" s="1">
        <v>180</v>
      </c>
      <c r="K39" s="1" t="s">
        <v>18</v>
      </c>
      <c r="N39" s="1" t="s">
        <v>72</v>
      </c>
      <c r="O39" s="1">
        <f>5</f>
        <v>5</v>
      </c>
    </row>
    <row r="40" spans="2:15" x14ac:dyDescent="0.25">
      <c r="B40" s="1">
        <v>38</v>
      </c>
      <c r="D40" s="1" t="s">
        <v>71</v>
      </c>
      <c r="G40" t="s">
        <v>16</v>
      </c>
      <c r="H40" s="1">
        <v>150</v>
      </c>
      <c r="K40" s="1" t="s">
        <v>18</v>
      </c>
      <c r="N40" s="1" t="s">
        <v>73</v>
      </c>
      <c r="O40" s="1">
        <f>2.75+2</f>
        <v>4.75</v>
      </c>
    </row>
    <row r="41" spans="2:15" x14ac:dyDescent="0.25">
      <c r="B41" s="1">
        <v>39</v>
      </c>
      <c r="D41" s="1" t="s">
        <v>71</v>
      </c>
      <c r="G41" t="s">
        <v>16</v>
      </c>
      <c r="H41" s="1">
        <v>90</v>
      </c>
      <c r="K41" s="1" t="s">
        <v>18</v>
      </c>
      <c r="N41" s="1" t="s">
        <v>74</v>
      </c>
      <c r="O41" s="1">
        <f>3+(4.75*2)+1</f>
        <v>13.5</v>
      </c>
    </row>
    <row r="42" spans="2:15" x14ac:dyDescent="0.25">
      <c r="B42" s="1">
        <v>40</v>
      </c>
      <c r="D42" s="1" t="s">
        <v>75</v>
      </c>
      <c r="G42" t="s">
        <v>16</v>
      </c>
      <c r="H42" s="1">
        <v>25</v>
      </c>
      <c r="K42" s="1" t="s">
        <v>18</v>
      </c>
      <c r="N42" s="1"/>
      <c r="O42" s="1">
        <f>1.5+2.5+4.5</f>
        <v>8.5</v>
      </c>
    </row>
    <row r="43" spans="2:15" x14ac:dyDescent="0.25">
      <c r="B43" s="1">
        <v>41</v>
      </c>
      <c r="D43" s="1" t="s">
        <v>76</v>
      </c>
      <c r="G43" t="s">
        <v>16</v>
      </c>
      <c r="H43" s="1">
        <v>30</v>
      </c>
      <c r="K43" s="1" t="s">
        <v>18</v>
      </c>
      <c r="N43" s="1" t="s">
        <v>77</v>
      </c>
      <c r="O43" s="1">
        <f>5.5+16+12.75+7.75+9+8.75+12.75+9.5+11+16+4+15+5+6+5.75+3+14.75+11+7+14</f>
        <v>194.5</v>
      </c>
    </row>
    <row r="44" spans="2:15" x14ac:dyDescent="0.25">
      <c r="B44" s="1">
        <v>42</v>
      </c>
      <c r="D44" s="1" t="s">
        <v>78</v>
      </c>
      <c r="G44" t="s">
        <v>16</v>
      </c>
      <c r="H44" s="1">
        <v>58</v>
      </c>
      <c r="K44" s="1" t="s">
        <v>18</v>
      </c>
      <c r="N44" s="1" t="s">
        <v>79</v>
      </c>
      <c r="O44" s="1">
        <f>5.25+5+2+3.75+5.5+6.5+1.75+3.5+9.5+10.75+4.75</f>
        <v>58.25</v>
      </c>
    </row>
  </sheetData>
  <pageMargins left="0.7" right="0.7" top="0.75" bottom="0.75" header="0.3" footer="0.3"/>
  <pageSetup paperSize="1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Vayalat</dc:creator>
  <cp:lastModifiedBy>Raju Vayalat</cp:lastModifiedBy>
  <dcterms:created xsi:type="dcterms:W3CDTF">2025-10-19T11:10:30Z</dcterms:created>
  <dcterms:modified xsi:type="dcterms:W3CDTF">2025-10-19T11:10:51Z</dcterms:modified>
</cp:coreProperties>
</file>